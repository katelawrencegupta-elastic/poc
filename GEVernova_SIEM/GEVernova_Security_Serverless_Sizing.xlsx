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izing &amp; Cost" sheetId="2" state="visible" r:id="rId4"/>
    <sheet name="VCU vs ECU" sheetId="3" state="visible" r:id="rId5"/>
    <sheet name="Growth Scenario" sheetId="4" state="visible" r:id="rId6"/>
    <sheet name="ECH vs Serverles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<sst xmlns="http://schemas.openxmlformats.org/spreadsheetml/2006/main" count="125" uniqueCount="107">
  <si>
    <t xml:space="preserve">GE Vernova — Elastic Security Serverless Sizing — Input Assumptions</t>
  </si>
  <si>
    <t xml:space="preserve">Prepared by Kate Lawrence-Gupta (kate.lawrencegupta@elastic.co) | 2026-09-08</t>
  </si>
  <si>
    <t xml:space="preserve">Host Inventory</t>
  </si>
  <si>
    <t xml:space="preserve">Category</t>
  </si>
  <si>
    <t xml:space="preserve">Hosts</t>
  </si>
  <si>
    <t xml:space="preserve">Online Hosts – Windows</t>
  </si>
  <si>
    <t xml:space="preserve">Online Hosts – Linux</t>
  </si>
  <si>
    <t xml:space="preserve">Online Hosts – Mac</t>
  </si>
  <si>
    <t xml:space="preserve">Total Online Hosts</t>
  </si>
  <si>
    <t xml:space="preserve">Offline Hosts</t>
  </si>
  <si>
    <t xml:space="preserve">Total Hosts (Online + Offline)</t>
  </si>
  <si>
    <t xml:space="preserve">Volume &amp; Retention</t>
  </si>
  <si>
    <t xml:space="preserve">Total Daily Ingest Volume (GB/day)</t>
  </si>
  <si>
    <t xml:space="preserve">Retention Period (days)</t>
  </si>
  <si>
    <t xml:space="preserve">Average Days per Month (365/12)</t>
  </si>
  <si>
    <t xml:space="preserve">Avg Ingest per Online Host (GB/day)</t>
  </si>
  <si>
    <t xml:space="preserve">Avg Ingest per Online Host (MB/day)</t>
  </si>
  <si>
    <t xml:space="preserve">Elastic Security Serverless — Published List Pricing</t>
  </si>
  <si>
    <t xml:space="preserve">Source: elastic.co/pricing/serverless-security (accessed 2026-09-08; rates effective Nov 1, 2025). Rates below are the lowest published “as low as” volume tier. Elastic list pricing is volume-tiered (higher $/GB on the first block of monthly ingest/retention, decreasing at higher committed volumes), so GE Vernova's effective blended rate may be higher than shown here at initial volumes. Confirm exact tiered pricing via cloud.elastic.co/pricing/serverless?s=security or Elastic Deal Desk before quoting a customer.</t>
  </si>
  <si>
    <t xml:space="preserve">Tier</t>
  </si>
  <si>
    <t xml:space="preserve">Ingest $/GB</t>
  </si>
  <si>
    <t xml:space="preserve">Retention $/GB/month</t>
  </si>
  <si>
    <t xml:space="preserve">Egress free (GB/mo)</t>
  </si>
  <si>
    <t xml:space="preserve">Egress $/GB beyond free</t>
  </si>
  <si>
    <t xml:space="preserve">Security Analytics Essentials</t>
  </si>
  <si>
    <t xml:space="preserve">Security Analytics Complete</t>
  </si>
  <si>
    <t xml:space="preserve">GE Vernova — Ingest &amp; Retention Sizing (Elastic Security Serverless)</t>
  </si>
  <si>
    <t xml:space="preserve">Ingest Volume</t>
  </si>
  <si>
    <t xml:space="preserve">Daily Ingest (GB/day)</t>
  </si>
  <si>
    <t xml:space="preserve">Monthly Ingest (GB/month)</t>
  </si>
  <si>
    <t xml:space="preserve">Annual Ingest (GB/year)</t>
  </si>
  <si>
    <t xml:space="preserve">Annual Ingest (TB/year, 1 TB = 1,000 GB)</t>
  </si>
  <si>
    <t xml:space="preserve">Retention / Storage Footprint (steady state, once the 90-day window is full)</t>
  </si>
  <si>
    <t xml:space="preserve">Retained Volume at Steady State (GB)</t>
  </si>
  <si>
    <t xml:space="preserve">Retained Volume at Steady State (TB)</t>
  </si>
  <si>
    <t xml:space="preserve">Retention Ramp-Up (illustrative — volume stored grows until day 90)</t>
  </si>
  <si>
    <t xml:space="preserve">Elapsed Days</t>
  </si>
  <si>
    <t xml:space="preserve">Retained Volume (GB)</t>
  </si>
  <si>
    <t xml:space="preserve">Cost Estimate — Steady State (Month 4+)</t>
  </si>
  <si>
    <t xml:space="preserve">Monthly Ingest (GB)</t>
  </si>
  <si>
    <t xml:space="preserve">Monthly Ingest Cost</t>
  </si>
  <si>
    <t xml:space="preserve">Retention $/GB/mo</t>
  </si>
  <si>
    <t xml:space="preserve">Retained GB (steady)</t>
  </si>
  <si>
    <t xml:space="preserve">Monthly Retention Cost</t>
  </si>
  <si>
    <t xml:space="preserve">Total Monthly Cost</t>
  </si>
  <si>
    <t xml:space="preserve">Total Annual Cost (run-rate)</t>
  </si>
  <si>
    <t xml:space="preserve">Note: figures use Elastic's lowest published list rate per tier (“as low as” pricing) and cover Ingest + Retention only — they exclude Cloud Protection, Workflows, Agent Builder, and Elastic Managed LLM add-ons, none of which are assumed here. Support (Base/Enhanced/Premium) adds 5%–15% of total consumption on top of these figures depending on GE Vernova's chosen Elastic Cloud subscription tier. Confirm final pricing with Elastic's serverless estimate tool or Deal Desk.</t>
  </si>
  <si>
    <t xml:space="preserve">VCU vs. ECU — What Actually Sizes This Project</t>
  </si>
  <si>
    <t xml:space="preserve">What is a VCU?</t>
  </si>
  <si>
    <t xml:space="preserve">A Virtual Compute Unit (VCU) is Elastic's underlying unit of compute — a slice of RAM, vCPU, and local disk. General-purpose Elasticsearch and Observability Serverless projects meter and bill customers directly in Search, Ingest, and Machine Learning VCU-hours, which autoscale up and down with workload.</t>
  </si>
  <si>
    <t xml:space="preserve">What is an ECU?</t>
  </si>
  <si>
    <t xml:space="preserve">An Elastic Consumption Unit (ECU) is the currency Elastic bills in across every serverless project type. 1 ECU = $1.00 USD (nominal). Every billing dimension — VCU-hours on Elasticsearch/Observability projects, or Ingest GB and Retention GB on Security projects — is ultimately converted to and invoiced in ECUs.</t>
  </si>
  <si>
    <t xml:space="preserve">Why this Security sizing is not expressed in VCUs</t>
  </si>
  <si>
    <t xml:space="preserve">Elastic Security Serverless projects (SIEM / security analytics) do NOT expose VCU consumption to customers the way Elasticsearch and Observability Serverless projects do. Per Elastic's published Security Serverless billing dimensions, the only two data-volume billing dimensions are Ingest (GB sent to the project per month) and Retention (GB stored in the project per month). Elastic auto-allocates whatever Search/Ingest/ML VCUs are needed behind the scenes to serve that ingest and retention workload — GE Vernova is never charged for, or required to provision, a VCU count directly.</t>
  </si>
  <si>
    <t xml:space="preserve">So what is the practical answer to “how many VCU/ECU does this require”?</t>
  </si>
  <si>
    <t xml:space="preserve">For this Security Analytics workload (450 GB/day ingest, ~40.5 TB retained at steady state under 90-day retention), there is no separate VCU quota GE Vernova needs to size or buy — Elastic's platform scales Ingest, Search, and ML VCUs automatically and transparently. The customer-facing consumption unit is the ECU, and because 1 ECU = $1.00, the estimated monthly ECU consumption for this workload is numerically equal to the dollar cost estimates on the 'Sizing &amp; Cost' tab: roughly 1,900–2,255 ECU/month at steady state, depending on Essentials vs. Complete tier (before support fee and any add-ons).</t>
  </si>
  <si>
    <t xml:space="preserve">If a true VCU-level infrastructure comparison is needed</t>
  </si>
  <si>
    <t xml:space="preserve">Producing an actual Ingest/Search/ML VCU-hour estimate (e.g., to compare against a self-managed Elasticsearch or Splunk indexer sizing conversation) requires Elastic's internal capacity-planning tooling or a Solutions Architect / Customer Architect engagement — this is not published as a self-service formula, since VCU allocation depends on live factors (index count, mapping complexity, query patterns, Search Power setting) that aren't knowable from ingest volume and host count alone.</t>
  </si>
  <si>
    <t xml:space="preserve">Sources</t>
  </si>
  <si>
    <t xml:space="preserve">https://www.elastic.co/docs/deploy-manage/cloud-organization/billing/security-billing-dimensions</t>
  </si>
  <si>
    <t xml:space="preserve">https://www.elastic.co/docs/deploy-manage/cloud-organization/billing/elasticsearch-billing-dimensions</t>
  </si>
  <si>
    <t xml:space="preserve">https://www.elastic.co/search-labs/blog/elasticsearch-serverless-pricing-vcus-ecus</t>
  </si>
  <si>
    <t xml:space="preserve">https://www.elastic.co/pricing/serverless-security</t>
  </si>
  <si>
    <t xml:space="preserve">GE Vernova — Directional Scenario: All Hosts Online</t>
  </si>
  <si>
    <t xml:space="preserve">Assumes the 27,979 currently-offline hosts eventually onboard and generate telemetry at the same average per-host rate as the currently-online fleet. Directional only — actual future volume depends on which hosts come online, their OS mix, and endpoint policy (Windows/Linux/Mac telemetry rates are not broken out separately in the source data).</t>
  </si>
  <si>
    <t xml:space="preserve">Avg Ingest per Host (GB/day)</t>
  </si>
  <si>
    <t xml:space="preserve">Projected Daily Ingest (GB/day)</t>
  </si>
  <si>
    <t xml:space="preserve">Projected Monthly Ingest (GB/month)</t>
  </si>
  <si>
    <t xml:space="preserve">Projected Retained Volume @ 90 days (GB)</t>
  </si>
  <si>
    <t xml:space="preserve">Projected Retained Volume @ 90 days (TB)</t>
  </si>
  <si>
    <t xml:space="preserve">Projected Cost — Steady State</t>
  </si>
  <si>
    <t xml:space="preserve">GE Vernova — Elastic Cloud Hosted Ballpark vs. Elastic Security Serverless</t>
  </si>
  <si>
    <t xml:space="preserve">Source: "KLG:GE Vernova SIEM Elastic Cloud Hosted Ballpark Estimator_v4.5" (Google Sheet), SIEM tab, accessed 2026-09-08 (docs.google.com/spreadsheets/d/1Zwsdw-BPoV3kTjEp2c9P4x2WOH2ogm0Lc7rkjGEnTbY). Confirmed inputs match this analysis: 450 GB/day ingest, 90-day retention, Enterprise tier, AWS us-east-1 (N. Virginia), High Availability, Elastic Direct channel, 0% discount (list price).</t>
  </si>
  <si>
    <t xml:space="preserve">ECH Ballpark — Cluster Topology (SIEM tab, as configured)</t>
  </si>
  <si>
    <t xml:space="preserve">Node Role</t>
  </si>
  <si>
    <t xml:space="preserve">Node/Instance Type</t>
  </si>
  <si>
    <t xml:space="preserve">RAM / ECU (GB)</t>
  </si>
  <si>
    <t xml:space="preserve">Hot data tier</t>
  </si>
  <si>
    <t xml:space="preserve">aws.es.datahot.i8g</t>
  </si>
  <si>
    <t xml:space="preserve">Warm data tier</t>
  </si>
  <si>
    <t xml:space="preserve">aws.es.datawarm.i3en</t>
  </si>
  <si>
    <t xml:space="preserve">Cold data tier</t>
  </si>
  <si>
    <t xml:space="preserve">aws.es.datacold.i3en</t>
  </si>
  <si>
    <t xml:space="preserve">Master</t>
  </si>
  <si>
    <t xml:space="preserve">aws.es.master.c8gd</t>
  </si>
  <si>
    <t xml:space="preserve">Coordinating</t>
  </si>
  <si>
    <t xml:space="preserve">aws.es.coordinating.m6gd</t>
  </si>
  <si>
    <t xml:space="preserve">Machine Learning</t>
  </si>
  <si>
    <t xml:space="preserve">aws.es.ml.c5d</t>
  </si>
  <si>
    <t xml:space="preserve">Kibana</t>
  </si>
  <si>
    <t xml:space="preserve">aws.kibana.c8gd</t>
  </si>
  <si>
    <t xml:space="preserve">Total ECU (RAM-GB credits)</t>
  </si>
  <si>
    <t xml:space="preserve">Implied rate ($/ECU/year, Enterprise, 0% discount)</t>
  </si>
  <si>
    <t xml:space="preserve">Estimated Annual Cost Total (list price)</t>
  </si>
  <si>
    <t xml:space="preserve">Note: ML and Kibana RAM were cross-referenced from two overlapping calculation blocks in the source sheet; the split between the two (16/24 vs 24/16) may be reversed, but the combined subtotal (40 ECU) and grand total (103 ECU) are confirmed against the sheet's own "Estimated Annual Cost Total [90 days total retention]" figure of $103,000, which divides out to an exact $1,000/ECU/year — consistent with a flat blended Enterprise list rate.</t>
  </si>
  <si>
    <t xml:space="preserve">Serverless Equivalent (same 450 GB/day, 90-day retention inputs)</t>
  </si>
  <si>
    <t xml:space="preserve">Monthly Cost (ECU = $)</t>
  </si>
  <si>
    <t xml:space="preserve">Annual Run-Rate (ECU = $)</t>
  </si>
  <si>
    <t xml:space="preserve">Side-by-Side Annual List Estimate</t>
  </si>
  <si>
    <t xml:space="preserve">Model</t>
  </si>
  <si>
    <t xml:space="preserve">Annual List Estimate</t>
  </si>
  <si>
    <t xml:space="preserve">Elastic Cloud Hosted (ECH)</t>
  </si>
  <si>
    <t xml:space="preserve">Enterprise, 0% discount</t>
  </si>
  <si>
    <t xml:space="preserve">Elastic Security Serverless</t>
  </si>
  <si>
    <t xml:space="preserve">Essentials</t>
  </si>
  <si>
    <t xml:space="preserve">Complete</t>
  </si>
  <si>
    <t xml:space="preserve">Key differences: ECH sizes and bills for provisioned cluster capacity (hot/warm/cold/frozen data tiers plus master, coordinating, ML, and Kibana nodes, replicated across availability zones) whether or not it's fully utilized — its "ECU" is a RAM-GB-equivalent capacity credit. Serverless has no cluster topology to size at all: Elastic auto-scales Ingest/Search/ML VCUs behind the scenes and bills only for Ingest (GB actually sent) and Retention (GB actually stored) — its "ECU" is simply the $1-denominated billing currency those GB charges convert into. The two sheets' "ECU" figures (103 vs. the Serverless ECU/month figures) are NOT the same unit and should not be compared directly — only the resulting dollar estimates are comparable, and even those are list-price ballparks: the ECH figure assumes 0% discount, and the Serverless figures use Elastic's lowest published volume-tier rate. Confirm both with Elastic's official calculators or Deal Desk before presenting to GE Vernova.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</si>
</sst>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"/>
    <numFmt numFmtId="167" formatCode="\$0.000"/>
    <numFmt numFmtId="168" formatCode="#,##0"/>
    <numFmt numFmtId="169" formatCode="#,##0.0"/>
    <numFmt numFmtId="170" formatCode="\$#,##0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7" t="n">
        <v>4430</v>
      </c>
    </row>
    <row r="7" customFormat="false" ht="15" hidden="false" customHeight="true" outlineLevel="0" collapsed="false">
      <c r="A7" s="6" t="s">
        <v>6</v>
      </c>
      <c r="B7" s="7" t="n">
        <v>2852</v>
      </c>
    </row>
    <row r="8" customFormat="false" ht="15" hidden="false" customHeight="true" outlineLevel="0" collapsed="false">
      <c r="A8" s="6" t="s">
        <v>7</v>
      </c>
      <c r="B8" s="7" t="n">
        <v>1</v>
      </c>
    </row>
    <row r="9" customFormat="false" ht="15" hidden="false" customHeight="true" outlineLevel="0" collapsed="false">
      <c r="A9" s="5" t="s">
        <v>8</v>
      </c>
      <c r="B9" s="5" t="n">
        <f aca="false">SUM(B6:B8)</f>
        <v>7283</v>
      </c>
    </row>
    <row r="10" customFormat="false" ht="15" hidden="false" customHeight="true" outlineLevel="0" collapsed="false">
      <c r="A10" s="1" t="s">
        <v>9</v>
      </c>
      <c r="B10" s="7" t="n">
        <v>27979</v>
      </c>
    </row>
    <row r="11" customFormat="false" ht="15" hidden="false" customHeight="true" outlineLevel="0" collapsed="false">
      <c r="A11" s="5" t="s">
        <v>10</v>
      </c>
      <c r="B11" s="5" t="n">
        <f aca="false">B9+B10</f>
        <v>35262</v>
      </c>
    </row>
    <row r="13" customFormat="false" ht="15" hidden="false" customHeight="true" outlineLevel="0" collapsed="false">
      <c r="A13" s="4" t="s">
        <v>11</v>
      </c>
    </row>
    <row r="14" customFormat="false" ht="15" hidden="false" customHeight="true" outlineLevel="0" collapsed="false">
      <c r="A14" s="1" t="s">
        <v>12</v>
      </c>
      <c r="B14" s="7" t="n">
        <v>450</v>
      </c>
    </row>
    <row r="15" customFormat="false" ht="15" hidden="false" customHeight="true" outlineLevel="0" collapsed="false">
      <c r="A15" s="1" t="s">
        <v>13</v>
      </c>
      <c r="B15" s="7" t="n">
        <v>90</v>
      </c>
    </row>
    <row r="16" customFormat="false" ht="15" hidden="false" customHeight="true" outlineLevel="0" collapsed="false">
      <c r="A16" s="1" t="s">
        <v>14</v>
      </c>
      <c r="B16" s="8" t="n">
        <f aca="false">365/12</f>
        <v>30.4166666666667</v>
      </c>
    </row>
    <row r="17" customFormat="false" ht="15" hidden="false" customHeight="true" outlineLevel="0" collapsed="false">
      <c r="A17" s="1" t="s">
        <v>15</v>
      </c>
      <c r="B17" s="9" t="n">
        <f aca="false">B14/B9</f>
        <v>0.0617877248386654</v>
      </c>
    </row>
    <row r="18" customFormat="false" ht="15" hidden="false" customHeight="true" outlineLevel="0" collapsed="false">
      <c r="A18" s="1" t="s">
        <v>16</v>
      </c>
      <c r="B18" s="8" t="n">
        <f aca="false">B17*1024</f>
        <v>63.2706302347934</v>
      </c>
    </row>
    <row r="20" customFormat="false" ht="15" hidden="false" customHeight="true" outlineLevel="0" collapsed="false">
      <c r="A20" s="4" t="s">
        <v>17</v>
      </c>
    </row>
    <row r="21" customFormat="false" ht="48" hidden="false" customHeight="true" outlineLevel="0" collapsed="false">
      <c r="A21" s="10" t="s">
        <v>18</v>
      </c>
      <c r="B21" s="10"/>
      <c r="C21" s="10"/>
      <c r="D21" s="10"/>
      <c r="E21" s="10"/>
    </row>
    <row r="22" customFormat="false" ht="15" hidden="false" customHeight="true" outlineLevel="0" collapsed="false">
      <c r="A22" s="11" t="s">
        <v>19</v>
      </c>
      <c r="B22" s="11" t="s">
        <v>20</v>
      </c>
      <c r="C22" s="11" t="s">
        <v>21</v>
      </c>
      <c r="D22" s="11" t="s">
        <v>22</v>
      </c>
      <c r="E22" s="11" t="s">
        <v>23</v>
      </c>
    </row>
    <row r="23" customFormat="false" ht="15" hidden="false" customHeight="true" outlineLevel="0" collapsed="false">
      <c r="A23" s="6" t="s">
        <v>24</v>
      </c>
      <c r="B23" s="12" t="n">
        <v>0.09</v>
      </c>
      <c r="C23" s="12" t="n">
        <v>0.017</v>
      </c>
      <c r="D23" s="7" t="n">
        <v>50</v>
      </c>
      <c r="E23" s="12" t="n">
        <v>0.05</v>
      </c>
    </row>
    <row r="24" customFormat="false" ht="15" hidden="false" customHeight="true" outlineLevel="0" collapsed="false">
      <c r="A24" s="6" t="s">
        <v>25</v>
      </c>
      <c r="B24" s="12" t="n">
        <v>0.11</v>
      </c>
      <c r="C24" s="12" t="n">
        <v>0.019</v>
      </c>
      <c r="D24" s="7" t="n">
        <v>50</v>
      </c>
      <c r="E24" s="12" t="n">
        <v>0.05</v>
      </c>
    </row>
  </sheetData>
  <mergeCells count="3">
    <mergeCell ref="A1:E1"/>
    <mergeCell ref="A2:E2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9" min="3" style="1" width="18"/>
  </cols>
  <sheetData>
    <row r="1" customFormat="false" ht="17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4" t="s">
        <v>27</v>
      </c>
    </row>
    <row r="4" customFormat="false" ht="15" hidden="false" customHeight="true" outlineLevel="0" collapsed="false">
      <c r="A4" s="1" t="s">
        <v>28</v>
      </c>
      <c r="B4" s="13" t="n">
        <f aca="false">Inputs!B14</f>
        <v>450</v>
      </c>
    </row>
    <row r="5" customFormat="false" ht="15" hidden="false" customHeight="true" outlineLevel="0" collapsed="false">
      <c r="A5" s="1" t="s">
        <v>29</v>
      </c>
      <c r="B5" s="14" t="n">
        <f aca="false">B4*Inputs!B16</f>
        <v>13687.5</v>
      </c>
    </row>
    <row r="6" customFormat="false" ht="15" hidden="false" customHeight="true" outlineLevel="0" collapsed="false">
      <c r="A6" s="1" t="s">
        <v>30</v>
      </c>
      <c r="B6" s="14" t="n">
        <f aca="false">B4*365</f>
        <v>164250</v>
      </c>
    </row>
    <row r="7" customFormat="false" ht="15" hidden="false" customHeight="true" outlineLevel="0" collapsed="false">
      <c r="A7" s="1" t="s">
        <v>31</v>
      </c>
      <c r="B7" s="15" t="n">
        <f aca="false">B6/1000</f>
        <v>164.25</v>
      </c>
    </row>
    <row r="9" customFormat="false" ht="15" hidden="false" customHeight="true" outlineLevel="0" collapsed="false">
      <c r="A9" s="4" t="s">
        <v>32</v>
      </c>
    </row>
    <row r="10" customFormat="false" ht="15" hidden="false" customHeight="true" outlineLevel="0" collapsed="false">
      <c r="A10" s="1" t="s">
        <v>13</v>
      </c>
      <c r="B10" s="13" t="n">
        <f aca="false">Inputs!B15</f>
        <v>90</v>
      </c>
    </row>
    <row r="11" customFormat="false" ht="15" hidden="false" customHeight="true" outlineLevel="0" collapsed="false">
      <c r="A11" s="1" t="s">
        <v>33</v>
      </c>
      <c r="B11" s="14" t="n">
        <f aca="false">B4*B10</f>
        <v>40500</v>
      </c>
    </row>
    <row r="12" customFormat="false" ht="15" hidden="false" customHeight="true" outlineLevel="0" collapsed="false">
      <c r="A12" s="1" t="s">
        <v>34</v>
      </c>
      <c r="B12" s="15" t="n">
        <f aca="false">B11/1000</f>
        <v>40.5</v>
      </c>
    </row>
    <row r="14" customFormat="false" ht="15" hidden="false" customHeight="true" outlineLevel="0" collapsed="false">
      <c r="A14" s="4" t="s">
        <v>35</v>
      </c>
    </row>
    <row r="15" customFormat="false" ht="15" hidden="false" customHeight="true" outlineLevel="0" collapsed="false">
      <c r="A15" s="1" t="s">
        <v>36</v>
      </c>
      <c r="B15" s="5" t="n">
        <v>30</v>
      </c>
      <c r="C15" s="5" t="n">
        <v>60</v>
      </c>
      <c r="D15" s="5" t="n">
        <v>90</v>
      </c>
    </row>
    <row r="16" customFormat="false" ht="15" hidden="false" customHeight="true" outlineLevel="0" collapsed="false">
      <c r="A16" s="1" t="s">
        <v>37</v>
      </c>
      <c r="B16" s="14" t="n">
        <f aca="false">$B$4*B15</f>
        <v>13500</v>
      </c>
      <c r="C16" s="14" t="n">
        <f aca="false">$B$4*C15</f>
        <v>27000</v>
      </c>
      <c r="D16" s="14" t="n">
        <f aca="false">$B$4*D15</f>
        <v>40500</v>
      </c>
    </row>
    <row r="18" customFormat="false" ht="15" hidden="false" customHeight="true" outlineLevel="0" collapsed="false">
      <c r="A18" s="4" t="s">
        <v>38</v>
      </c>
    </row>
    <row r="19" customFormat="false" ht="30" hidden="false" customHeight="true" outlineLevel="0" collapsed="false">
      <c r="A19" s="16" t="s">
        <v>19</v>
      </c>
      <c r="B19" s="16" t="s">
        <v>20</v>
      </c>
      <c r="C19" s="16" t="s">
        <v>39</v>
      </c>
      <c r="D19" s="16" t="s">
        <v>40</v>
      </c>
      <c r="E19" s="16" t="s">
        <v>41</v>
      </c>
      <c r="F19" s="16" t="s">
        <v>42</v>
      </c>
      <c r="G19" s="16" t="s">
        <v>43</v>
      </c>
      <c r="H19" s="16" t="s">
        <v>44</v>
      </c>
      <c r="I19" s="16" t="s">
        <v>45</v>
      </c>
    </row>
    <row r="20" customFormat="false" ht="15" hidden="false" customHeight="true" outlineLevel="0" collapsed="false">
      <c r="A20" s="13" t="str">
        <f aca="false">Inputs!A23</f>
        <v>Security Analytics Essentials</v>
      </c>
      <c r="B20" s="17" t="n">
        <f aca="false">Inputs!B23</f>
        <v>0.09</v>
      </c>
      <c r="C20" s="14" t="n">
        <f aca="false">$B$5</f>
        <v>13687.5</v>
      </c>
      <c r="D20" s="18" t="n">
        <f aca="false">C20*B20</f>
        <v>1231.875</v>
      </c>
      <c r="E20" s="17" t="n">
        <f aca="false">Inputs!C23</f>
        <v>0.017</v>
      </c>
      <c r="F20" s="14" t="n">
        <f aca="false">$B$11</f>
        <v>40500</v>
      </c>
      <c r="G20" s="18" t="n">
        <f aca="false">F20*E20</f>
        <v>688.5</v>
      </c>
      <c r="H20" s="19" t="n">
        <f aca="false">D20+G20</f>
        <v>1920.375</v>
      </c>
      <c r="I20" s="18" t="n">
        <f aca="false">H20*12</f>
        <v>23044.5</v>
      </c>
    </row>
    <row r="21" customFormat="false" ht="15" hidden="false" customHeight="true" outlineLevel="0" collapsed="false">
      <c r="A21" s="13" t="str">
        <f aca="false">Inputs!A24</f>
        <v>Security Analytics Complete</v>
      </c>
      <c r="B21" s="17" t="n">
        <f aca="false">Inputs!B24</f>
        <v>0.11</v>
      </c>
      <c r="C21" s="14" t="n">
        <f aca="false">$B$5</f>
        <v>13687.5</v>
      </c>
      <c r="D21" s="18" t="n">
        <f aca="false">C21*B21</f>
        <v>1505.625</v>
      </c>
      <c r="E21" s="17" t="n">
        <f aca="false">Inputs!C24</f>
        <v>0.019</v>
      </c>
      <c r="F21" s="14" t="n">
        <f aca="false">$B$11</f>
        <v>40500</v>
      </c>
      <c r="G21" s="18" t="n">
        <f aca="false">F21*E21</f>
        <v>769.5</v>
      </c>
      <c r="H21" s="19" t="n">
        <f aca="false">D21+G21</f>
        <v>2275.125</v>
      </c>
      <c r="I21" s="18" t="n">
        <f aca="false">H21*12</f>
        <v>27301.5</v>
      </c>
    </row>
    <row r="23" customFormat="false" ht="60" hidden="false" customHeight="true" outlineLevel="0" collapsed="false">
      <c r="A23" s="10" t="s">
        <v>46</v>
      </c>
      <c r="B23" s="10"/>
      <c r="C23" s="10"/>
      <c r="D23" s="10"/>
      <c r="E23" s="10"/>
      <c r="F23" s="10"/>
      <c r="G23" s="10"/>
      <c r="H23" s="10"/>
      <c r="I23" s="10"/>
    </row>
  </sheetData>
  <mergeCells count="2">
    <mergeCell ref="A1:I1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0" t="s">
        <v>47</v>
      </c>
    </row>
    <row r="3" customFormat="false" ht="15" hidden="false" customHeight="true" outlineLevel="0" collapsed="false">
      <c r="A3" s="5" t="s">
        <v>48</v>
      </c>
    </row>
    <row r="4" customFormat="false" ht="69.75" hidden="false" customHeight="true" outlineLevel="0" collapsed="false">
      <c r="A4" s="21" t="s">
        <v>49</v>
      </c>
    </row>
    <row r="6" customFormat="false" ht="15" hidden="false" customHeight="true" outlineLevel="0" collapsed="false">
      <c r="A6" s="5" t="s">
        <v>50</v>
      </c>
    </row>
    <row r="7" customFormat="false" ht="69.75" hidden="false" customHeight="true" outlineLevel="0" collapsed="false">
      <c r="A7" s="21" t="s">
        <v>51</v>
      </c>
    </row>
    <row r="9" customFormat="false" ht="15" hidden="false" customHeight="true" outlineLevel="0" collapsed="false">
      <c r="A9" s="5" t="s">
        <v>52</v>
      </c>
    </row>
    <row r="10" customFormat="false" ht="69.75" hidden="false" customHeight="true" outlineLevel="0" collapsed="false">
      <c r="A10" s="21" t="s">
        <v>53</v>
      </c>
    </row>
    <row r="12" customFormat="false" ht="15" hidden="false" customHeight="true" outlineLevel="0" collapsed="false">
      <c r="A12" s="5" t="s">
        <v>54</v>
      </c>
    </row>
    <row r="13" customFormat="false" ht="69.75" hidden="false" customHeight="true" outlineLevel="0" collapsed="false">
      <c r="A13" s="21" t="s">
        <v>55</v>
      </c>
    </row>
    <row r="15" customFormat="false" ht="15" hidden="false" customHeight="true" outlineLevel="0" collapsed="false">
      <c r="A15" s="5" t="s">
        <v>56</v>
      </c>
    </row>
    <row r="16" customFormat="false" ht="69.75" hidden="false" customHeight="true" outlineLevel="0" collapsed="false">
      <c r="A16" s="21" t="s">
        <v>57</v>
      </c>
    </row>
    <row r="18" customFormat="false" ht="15" hidden="false" customHeight="true" outlineLevel="0" collapsed="false">
      <c r="A18" s="5" t="s">
        <v>58</v>
      </c>
    </row>
    <row r="19" customFormat="false" ht="15" hidden="false" customHeight="true" outlineLevel="0" collapsed="false">
      <c r="A19" s="22" t="s">
        <v>59</v>
      </c>
    </row>
    <row r="20" customFormat="false" ht="15" hidden="false" customHeight="true" outlineLevel="0" collapsed="false">
      <c r="A20" s="22" t="s">
        <v>60</v>
      </c>
    </row>
    <row r="21" customFormat="false" ht="15" hidden="false" customHeight="true" outlineLevel="0" collapsed="false">
      <c r="A21" s="22" t="s">
        <v>61</v>
      </c>
    </row>
    <row r="22" customFormat="false" ht="15" hidden="false" customHeight="true" outlineLevel="0" collapsed="false">
      <c r="A22" s="2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9" min="3" style="1" width="18"/>
  </cols>
  <sheetData>
    <row r="1" customFormat="false" ht="17.2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</row>
    <row r="2" customFormat="false" ht="43.5" hidden="false" customHeight="true" outlineLevel="0" collapsed="false">
      <c r="A2" s="10" t="s">
        <v>64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" t="s">
        <v>10</v>
      </c>
      <c r="B4" s="13" t="n">
        <f aca="false">Inputs!B11</f>
        <v>35262</v>
      </c>
    </row>
    <row r="5" customFormat="false" ht="15" hidden="false" customHeight="true" outlineLevel="0" collapsed="false">
      <c r="A5" s="1" t="s">
        <v>65</v>
      </c>
      <c r="B5" s="23" t="n">
        <f aca="false">Inputs!B17</f>
        <v>0.0617877248386654</v>
      </c>
    </row>
    <row r="6" customFormat="false" ht="15" hidden="false" customHeight="true" outlineLevel="0" collapsed="false">
      <c r="A6" s="1" t="s">
        <v>66</v>
      </c>
      <c r="B6" s="14" t="n">
        <f aca="false">B4*B5</f>
        <v>2178.75875326102</v>
      </c>
    </row>
    <row r="7" customFormat="false" ht="15" hidden="false" customHeight="true" outlineLevel="0" collapsed="false">
      <c r="A7" s="1" t="s">
        <v>67</v>
      </c>
      <c r="B7" s="14" t="n">
        <f aca="false">B6*Inputs!B16</f>
        <v>66270.5787450227</v>
      </c>
    </row>
    <row r="8" customFormat="false" ht="15" hidden="false" customHeight="true" outlineLevel="0" collapsed="false">
      <c r="A8" s="1" t="s">
        <v>68</v>
      </c>
      <c r="B8" s="14" t="n">
        <f aca="false">B6*Inputs!B15</f>
        <v>196088.287793492</v>
      </c>
    </row>
    <row r="9" customFormat="false" ht="15" hidden="false" customHeight="true" outlineLevel="0" collapsed="false">
      <c r="A9" s="1" t="s">
        <v>69</v>
      </c>
      <c r="B9" s="15" t="n">
        <f aca="false">B8/1000</f>
        <v>196.088287793492</v>
      </c>
    </row>
    <row r="11" customFormat="false" ht="15" hidden="false" customHeight="true" outlineLevel="0" collapsed="false">
      <c r="A11" s="4" t="s">
        <v>70</v>
      </c>
    </row>
    <row r="12" customFormat="false" ht="30" hidden="false" customHeight="true" outlineLevel="0" collapsed="false">
      <c r="A12" s="16" t="s">
        <v>19</v>
      </c>
      <c r="B12" s="16" t="s">
        <v>20</v>
      </c>
      <c r="C12" s="16" t="s">
        <v>39</v>
      </c>
      <c r="D12" s="16" t="s">
        <v>40</v>
      </c>
      <c r="E12" s="16" t="s">
        <v>41</v>
      </c>
      <c r="F12" s="16" t="s">
        <v>42</v>
      </c>
      <c r="G12" s="16" t="s">
        <v>43</v>
      </c>
      <c r="H12" s="16" t="s">
        <v>44</v>
      </c>
      <c r="I12" s="16" t="s">
        <v>45</v>
      </c>
    </row>
    <row r="13" customFormat="false" ht="15" hidden="false" customHeight="true" outlineLevel="0" collapsed="false">
      <c r="A13" s="13" t="str">
        <f aca="false">Inputs!A23</f>
        <v>Security Analytics Essentials</v>
      </c>
      <c r="B13" s="17" t="n">
        <f aca="false">Inputs!B23</f>
        <v>0.09</v>
      </c>
      <c r="C13" s="14" t="n">
        <f aca="false">$B$7</f>
        <v>66270.5787450227</v>
      </c>
      <c r="D13" s="18" t="n">
        <f aca="false">C13*B13</f>
        <v>5964.35208705204</v>
      </c>
      <c r="E13" s="17" t="n">
        <f aca="false">Inputs!C23</f>
        <v>0.017</v>
      </c>
      <c r="F13" s="14" t="n">
        <f aca="false">$B$8</f>
        <v>196088.287793492</v>
      </c>
      <c r="G13" s="18" t="n">
        <f aca="false">F13*E13</f>
        <v>3333.50089248936</v>
      </c>
      <c r="H13" s="19" t="n">
        <f aca="false">D13+G13</f>
        <v>9297.8529795414</v>
      </c>
      <c r="I13" s="18" t="n">
        <f aca="false">H13*12</f>
        <v>111574.235754497</v>
      </c>
    </row>
    <row r="14" customFormat="false" ht="15" hidden="false" customHeight="true" outlineLevel="0" collapsed="false">
      <c r="A14" s="13" t="str">
        <f aca="false">Inputs!A24</f>
        <v>Security Analytics Complete</v>
      </c>
      <c r="B14" s="17" t="n">
        <f aca="false">Inputs!B24</f>
        <v>0.11</v>
      </c>
      <c r="C14" s="14" t="n">
        <f aca="false">$B$7</f>
        <v>66270.5787450227</v>
      </c>
      <c r="D14" s="18" t="n">
        <f aca="false">C14*B14</f>
        <v>7289.76366195249</v>
      </c>
      <c r="E14" s="17" t="n">
        <f aca="false">Inputs!C24</f>
        <v>0.019</v>
      </c>
      <c r="F14" s="14" t="n">
        <f aca="false">$B$8</f>
        <v>196088.287793492</v>
      </c>
      <c r="G14" s="18" t="n">
        <f aca="false">F14*E14</f>
        <v>3725.67746807634</v>
      </c>
      <c r="H14" s="19" t="n">
        <f aca="false">D14+G14</f>
        <v>11015.4411300288</v>
      </c>
      <c r="I14" s="18" t="n">
        <f aca="false">H14*12</f>
        <v>132185.293560346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24" t="s">
        <v>71</v>
      </c>
      <c r="B1" s="24"/>
      <c r="C1" s="24"/>
      <c r="D1" s="24"/>
      <c r="E1" s="24"/>
    </row>
    <row r="2" customFormat="false" ht="55.5" hidden="false" customHeight="true" outlineLevel="0" collapsed="false">
      <c r="A2" s="10" t="s">
        <v>72</v>
      </c>
      <c r="B2" s="10"/>
      <c r="C2" s="10"/>
      <c r="D2" s="10"/>
      <c r="E2" s="10"/>
    </row>
    <row r="4" customFormat="false" ht="15" hidden="false" customHeight="false" outlineLevel="0" collapsed="false">
      <c r="A4" s="25" t="s">
        <v>73</v>
      </c>
    </row>
    <row r="5" customFormat="false" ht="15" hidden="false" customHeight="false" outlineLevel="0" collapsed="false">
      <c r="A5" s="26" t="s">
        <v>74</v>
      </c>
      <c r="B5" s="26" t="s">
        <v>75</v>
      </c>
      <c r="C5" s="26" t="s">
        <v>76</v>
      </c>
    </row>
    <row r="6" customFormat="false" ht="15" hidden="false" customHeight="false" outlineLevel="0" collapsed="false">
      <c r="A6" s="27" t="s">
        <v>77</v>
      </c>
      <c r="B6" s="27" t="s">
        <v>78</v>
      </c>
      <c r="C6" s="28" t="n">
        <v>60</v>
      </c>
    </row>
    <row r="7" customFormat="false" ht="15" hidden="false" customHeight="false" outlineLevel="0" collapsed="false">
      <c r="A7" s="27" t="s">
        <v>79</v>
      </c>
      <c r="B7" s="27" t="s">
        <v>80</v>
      </c>
      <c r="C7" s="28" t="n">
        <v>0</v>
      </c>
    </row>
    <row r="8" customFormat="false" ht="15" hidden="false" customHeight="false" outlineLevel="0" collapsed="false">
      <c r="A8" s="27" t="s">
        <v>81</v>
      </c>
      <c r="B8" s="27" t="s">
        <v>82</v>
      </c>
      <c r="C8" s="28" t="n">
        <v>0</v>
      </c>
    </row>
    <row r="9" customFormat="false" ht="15" hidden="false" customHeight="false" outlineLevel="0" collapsed="false">
      <c r="A9" s="27" t="s">
        <v>83</v>
      </c>
      <c r="B9" s="27" t="s">
        <v>84</v>
      </c>
      <c r="C9" s="28" t="n">
        <v>3</v>
      </c>
    </row>
    <row r="10" customFormat="false" ht="15" hidden="false" customHeight="false" outlineLevel="0" collapsed="false">
      <c r="A10" s="27" t="s">
        <v>85</v>
      </c>
      <c r="B10" s="27" t="s">
        <v>86</v>
      </c>
      <c r="C10" s="28" t="n">
        <v>0</v>
      </c>
    </row>
    <row r="11" customFormat="false" ht="15" hidden="false" customHeight="false" outlineLevel="0" collapsed="false">
      <c r="A11" s="27" t="s">
        <v>87</v>
      </c>
      <c r="B11" s="27" t="s">
        <v>88</v>
      </c>
      <c r="C11" s="28" t="n">
        <v>16</v>
      </c>
    </row>
    <row r="12" customFormat="false" ht="15" hidden="false" customHeight="false" outlineLevel="0" collapsed="false">
      <c r="A12" s="27" t="s">
        <v>89</v>
      </c>
      <c r="B12" s="27" t="s">
        <v>90</v>
      </c>
      <c r="C12" s="28" t="n">
        <v>24</v>
      </c>
    </row>
    <row r="13" customFormat="false" ht="15" hidden="false" customHeight="false" outlineLevel="0" collapsed="false">
      <c r="A13" s="29" t="s">
        <v>91</v>
      </c>
      <c r="C13" s="30" t="n">
        <f aca="false">SUM(C6:C12)</f>
        <v>103</v>
      </c>
    </row>
    <row r="14" customFormat="false" ht="15" hidden="false" customHeight="false" outlineLevel="0" collapsed="false">
      <c r="A14" s="0" t="s">
        <v>92</v>
      </c>
      <c r="C14" s="31" t="n">
        <v>1000</v>
      </c>
    </row>
    <row r="15" customFormat="false" ht="15" hidden="false" customHeight="false" outlineLevel="0" collapsed="false">
      <c r="A15" s="29" t="s">
        <v>93</v>
      </c>
      <c r="C15" s="32" t="n">
        <f aca="false">C13*C14</f>
        <v>103000</v>
      </c>
    </row>
    <row r="16" customFormat="false" ht="60" hidden="false" customHeight="true" outlineLevel="0" collapsed="false">
      <c r="A16" s="10" t="s">
        <v>94</v>
      </c>
      <c r="B16" s="10"/>
      <c r="C16" s="10"/>
      <c r="D16" s="10"/>
      <c r="E16" s="10"/>
    </row>
    <row r="18" customFormat="false" ht="15" hidden="false" customHeight="false" outlineLevel="0" collapsed="false">
      <c r="A18" s="25" t="s">
        <v>95</v>
      </c>
    </row>
    <row r="19" customFormat="false" ht="15" hidden="false" customHeight="false" outlineLevel="0" collapsed="false">
      <c r="A19" s="26" t="s">
        <v>19</v>
      </c>
      <c r="B19" s="26" t="s">
        <v>96</v>
      </c>
      <c r="C19" s="26" t="s">
        <v>97</v>
      </c>
    </row>
    <row r="20" customFormat="false" ht="15" hidden="false" customHeight="false" outlineLevel="0" collapsed="false">
      <c r="A20" s="33" t="s">
        <v>24</v>
      </c>
      <c r="B20" s="34" t="n">
        <f aca="false">'Sizing &amp; Cost'!H20</f>
        <v>1920.375</v>
      </c>
      <c r="C20" s="34" t="n">
        <f aca="false">'Sizing &amp; Cost'!I20</f>
        <v>23044.5</v>
      </c>
    </row>
    <row r="21" customFormat="false" ht="15" hidden="false" customHeight="false" outlineLevel="0" collapsed="false">
      <c r="A21" s="33" t="s">
        <v>25</v>
      </c>
      <c r="B21" s="34" t="n">
        <f aca="false">'Sizing &amp; Cost'!H21</f>
        <v>2275.125</v>
      </c>
      <c r="C21" s="34" t="n">
        <f aca="false">'Sizing &amp; Cost'!I21</f>
        <v>27301.5</v>
      </c>
    </row>
    <row r="23" customFormat="false" ht="15" hidden="false" customHeight="false" outlineLevel="0" collapsed="false">
      <c r="A23" s="25" t="s">
        <v>98</v>
      </c>
    </row>
    <row r="24" customFormat="false" ht="15" hidden="false" customHeight="false" outlineLevel="0" collapsed="false">
      <c r="A24" s="26" t="s">
        <v>99</v>
      </c>
      <c r="B24" s="26" t="s">
        <v>19</v>
      </c>
      <c r="C24" s="26" t="s">
        <v>100</v>
      </c>
    </row>
    <row r="25" customFormat="false" ht="15" hidden="false" customHeight="false" outlineLevel="0" collapsed="false">
      <c r="A25" s="0" t="s">
        <v>101</v>
      </c>
      <c r="B25" s="0" t="s">
        <v>102</v>
      </c>
      <c r="C25" s="35" t="n">
        <f aca="false">C15</f>
        <v>103000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35" t="n">
        <f aca="false">'Sizing &amp; Cost'!I20</f>
        <v>23044.5</v>
      </c>
    </row>
    <row r="27" customFormat="false" ht="15" hidden="false" customHeight="false" outlineLevel="0" collapsed="false">
      <c r="A27" s="0" t="s">
        <v>103</v>
      </c>
      <c r="B27" s="0" t="s">
        <v>105</v>
      </c>
      <c r="C27" s="35" t="n">
        <f aca="false">'Sizing &amp; Cost'!I21</f>
        <v>27301.5</v>
      </c>
    </row>
    <row r="29" customFormat="false" ht="99.75" hidden="false" customHeight="true" outlineLevel="0" collapsed="false">
      <c r="A29" s="10" t="s">
        <v>106</v>
      </c>
      <c r="B29" s="10"/>
      <c r="C29" s="10"/>
      <c r="D29" s="10"/>
      <c r="E29" s="10"/>
    </row>
  </sheetData>
  <mergeCells count="4">
    <mergeCell ref="A1:E1"/>
    <mergeCell ref="A2:E2"/>
    <mergeCell ref="A16:E16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2026-09-08T17:57:11Z</dcterms:created>
  <dc:creator>openpyxl</dc:creator>
  <dc:description/>
  <dc:language>en-US</dc:language>
  <cp:lastModifiedBy/>
  <dcterms:modified xsi:type="dcterms:W3CDTF">2026-09-08T19:32:36Z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