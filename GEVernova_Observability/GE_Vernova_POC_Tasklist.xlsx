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List" sheetId="1" state="visible" r:id="rId3"/>
    <sheet name="Summary" sheetId="2" state="visible" r:id="rId4"/>
    <sheet name="Legend" sheetId="3" state="visible" r:id="rId5"/>
  </sheets>
  <definedNames>
    <definedName function="false" hidden="true" localSheetId="0" name="_xlnm._FilterDatabase" vbProcedure="false">'Task List'!$A$1:$I$34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<sst xmlns="http://schemas.openxmlformats.org/spreadsheetml/2006/main" count="248" uniqueCount="104">
  <si>
    <t xml:space="preserve">#</t>
  </si>
  <si>
    <t xml:space="preserve">Section</t>
  </si>
  <si>
    <t xml:space="preserve">Task</t>
  </si>
  <si>
    <t xml:space="preserve">Priority</t>
  </si>
  <si>
    <t xml:space="preserve">Suggested Owner</t>
  </si>
  <si>
    <t xml:space="preserve">Assigned To</t>
  </si>
  <si>
    <t xml:space="preserve">Status</t>
  </si>
  <si>
    <t xml:space="preserve">Notes</t>
  </si>
  <si>
    <t xml:space="preserve">Source</t>
  </si>
  <si>
    <t xml:space="preserve">Data ingestion health — blocking before POC kicks off next week</t>
  </si>
  <si>
    <t xml:space="preserve">Root-cause the AWS integration going Unhealthy when the S3 metrics option is enabled</t>
  </si>
  <si>
    <t xml:space="preserve">High</t>
  </si>
  <si>
    <t xml:space="preserve">Elastic</t>
  </si>
  <si>
    <t xml:space="preserve">Not Started</t>
  </si>
  <si>
    <t xml:space="preserve">Corbett, 9/3</t>
  </si>
  <si>
    <t xml:space="preserve">Confirm the AWS agentless-ingest bug fix clears QA (India team) and ships to prod</t>
  </si>
  <si>
    <t xml:space="preserve">Tim Webster, 9/2</t>
  </si>
  <si>
    <t xml:space="preserve">Stand up the fallback EC2 Elastic Agent for AWS collection while the agentless fix is pending</t>
  </si>
  <si>
    <t xml:space="preserve">GE Vernova</t>
  </si>
  <si>
    <t xml:space="preserve">guide shared 9/2</t>
  </si>
  <si>
    <t xml:space="preserve">Hold 48 hours of stable AWS integration data before the POC formally kicks off (~week of 9/8)</t>
  </si>
  <si>
    <t xml:space="preserve">Joint</t>
  </si>
  <si>
    <t xml:space="preserve">Corbett, 9/1</t>
  </si>
  <si>
    <t xml:space="preserve">Monitor agentless ingest stability now that it's reportedly fixed</t>
  </si>
  <si>
    <t xml:space="preserve">Med</t>
  </si>
  <si>
    <t xml:space="preserve">Brad, 9/3</t>
  </si>
  <si>
    <t xml:space="preserve">Investigate why Infrastructure Inventory shows RDS but not EC2 or S3 buckets</t>
  </si>
  <si>
    <t xml:space="preserve">GE Vernova/Elastic</t>
  </si>
  <si>
    <t xml:space="preserve">Corbett, 8/31</t>
  </si>
  <si>
    <t xml:space="preserve">Confirm existing Observability serverless project's ES/Kibana covers AWS Billing integration (no separate instance needed)</t>
  </si>
  <si>
    <t xml:space="preserve">Corbett, 8/28</t>
  </si>
  <si>
    <t xml:space="preserve">Confirm the IAM trust-policy / malformed-principal issue (account 291803666758) is fully resolved</t>
  </si>
  <si>
    <t xml:space="preserve">Low</t>
  </si>
  <si>
    <t xml:space="preserve">OTel / Kubernetes telemetry</t>
  </si>
  <si>
    <t xml:space="preserve">Complete kubeletstats + RBAC + k8s_observer config across all 3 clusters (pss-usw02-stage-ueks, smartsignal-usw02-stage-ueks, apm-stage)</t>
  </si>
  <si>
    <t xml:space="preserve">Brad's guide, 9/3</t>
  </si>
  <si>
    <t xml:space="preserve">Validate CPU/memory/network/disk metrics appear once kubeletstats config lands</t>
  </si>
  <si>
    <t xml:space="preserve">shoeb couldn't find them, 9/3</t>
  </si>
  <si>
    <t xml:space="preserve">Chase down missing traces — metrics are flowing but no traces confirmed yet</t>
  </si>
  <si>
    <t xml:space="preserve">Elastic/GE Vernova</t>
  </si>
  <si>
    <t xml:space="preserve">Kate, 9/2</t>
  </si>
  <si>
    <t xml:space="preserve">Confirm OTel SDKs point at the collector OTLP endpoint for trace emission</t>
  </si>
  <si>
    <t xml:space="preserve">Brad, 9/2</t>
  </si>
  <si>
    <t xml:space="preserve">Clean up legacy service.telemetry.resource config warning in collector logs</t>
  </si>
  <si>
    <t xml:space="preserve">collector logs, 9/2</t>
  </si>
  <si>
    <t xml:space="preserve">Log ingestion (ESF / Lambda)</t>
  </si>
  <si>
    <t xml:space="preserve">Fill in real region/account/SQS queue values in config.yaml for WAF, ELB, Fargate, EKS logs (currently placeholders)</t>
  </si>
  <si>
    <t xml:space="preserve">config.yaml, working folder</t>
  </si>
  <si>
    <t xml:space="preserve">Stand up per-data-source SQS queues (buffering, replay, batching) per Kate's ESF guidance</t>
  </si>
  <si>
    <t xml:space="preserve">Kate, 8/28</t>
  </si>
  <si>
    <t xml:space="preserve">Confirm the datastream reroute from logs-esf.cloudwatch-default to logs-kubernetes.container_logs-default is fully applied</t>
  </si>
  <si>
    <t xml:space="preserve">shoeb, 9/2–9/3</t>
  </si>
  <si>
    <t xml:space="preserve">Validate EKS control-plane audit logs route correctly rather than staying CloudWatch-wrapped JSON</t>
  </si>
  <si>
    <t xml:space="preserve">config.yaml note</t>
  </si>
  <si>
    <t xml:space="preserve">Program, access &amp; enablement</t>
  </si>
  <si>
    <t xml:space="preserve">Confirm Ajit Kamath has working Slack/channel access</t>
  </si>
  <si>
    <t xml:space="preserve">Udit, 8/26</t>
  </si>
  <si>
    <t xml:space="preserve">Schedule/deliver the cloud &amp; LLM usage cost-tracking demo to Udit's team</t>
  </si>
  <si>
    <t xml:space="preserve">Kate, 8/26</t>
  </si>
  <si>
    <t xml:space="preserve">Confirm the daily 9:30am CST engineering sync is running smoothly</t>
  </si>
  <si>
    <t xml:space="preserve">Nudge the GE Vernova team to complete the two Instruqt workshops (Search 9.4, ES|QL)</t>
  </si>
  <si>
    <t xml:space="preserve">Corbett, 8/12</t>
  </si>
  <si>
    <t xml:space="preserve">Splunk O11y → Elastic migration scoping (business case)</t>
  </si>
  <si>
    <t xml:space="preserve">Re-run o11y_inventory.py with --include-charts to get chart names + reuse data</t>
  </si>
  <si>
    <t xml:space="preserve">olly_inventory_summary.md §2</t>
  </si>
  <si>
    <t xml:space="preserve">Extend the inventory pull against Splunk's alert-events + audit-log APIs for real usage history</t>
  </si>
  <si>
    <t xml:space="preserve">summary §9</t>
  </si>
  <si>
    <t xml:space="preserve">Build the 5 Wave-1 priority dashboards (RDS Prod, MQ Prod, Cache Instance, K8s container, EC2 instances) — ~79% of alert traffic</t>
  </si>
  <si>
    <t xml:space="preserve">summary §7</t>
  </si>
  <si>
    <t xml:space="preserve">Scope/build the remaining 92 Wave-1 dashboards via AWS + Kubernetes OOTB integrations</t>
  </si>
  <si>
    <t xml:space="preserve">Budget custom dashboard build for AmazonMQ + ElastiCache — no OOTB Elastic dashboard, 978 alert refs (most underestimated piece)</t>
  </si>
  <si>
    <t xml:space="preserve">summary Tier B</t>
  </si>
  <si>
    <t xml:space="preserve">Confirm with owners whether Tier C bespoke dashboards (CONFIG-SERVICE, Smart Factory Cloud, Security Service) are still in live use before committing rebuild effort</t>
  </si>
  <si>
    <t xml:space="preserve">summary Tier C</t>
  </si>
  <si>
    <t xml:space="preserve">Consolidate the 8 SmartSignal RTE Memory dashboards into one dashboard with a site filter</t>
  </si>
  <si>
    <t xml:space="preserve">Confirm with SRE team which side (QA vs Prod) is authoritative for the 9 drifted detector pairs before consolidating</t>
  </si>
  <si>
    <t xml:space="preserve">summary §3</t>
  </si>
  <si>
    <t xml:space="preserve">Audit the 101 permanent (no-expiry) alert mutes — still needed or clean up?</t>
  </si>
  <si>
    <t xml:space="preserve">Investigate the 81 detectors with no notification configured — intentional or a gap?</t>
  </si>
  <si>
    <t xml:space="preserve">Confirm ServiceNow alert routing is part of the day-one Elastic design (78% of all notifications)</t>
  </si>
  <si>
    <t xml:space="preserve">summary §8</t>
  </si>
  <si>
    <t xml:space="preserve">Ask SRE team about unsaved/interactive ad-hoc query volume and whether Discover/Lens need to be part of enablement</t>
  </si>
  <si>
    <t xml:space="preserve">summary §6b</t>
  </si>
  <si>
    <t xml:space="preserve">Total</t>
  </si>
  <si>
    <t xml:space="preserve">In Progress</t>
  </si>
  <si>
    <t xml:space="preserve">Blocked</t>
  </si>
  <si>
    <t xml:space="preserve">Done</t>
  </si>
  <si>
    <t xml:space="preserve">% Done</t>
  </si>
  <si>
    <t xml:space="preserve">How to use this tracker</t>
  </si>
  <si>
    <t xml:space="preserve">Task List tab: one row per open item, pulled from the #ext-elastic-ge-vernova / #ge-vernova-poc Slack channels and the migration-scoping files in the GEVernova_Observability working folder (as of Sept 4, 2026).</t>
  </si>
  <si>
    <t xml:space="preserve">Columns to edit:</t>
  </si>
  <si>
    <t xml:space="preserve">  • Assigned To — enter the person's name (e.g. Kate Lawrence-Gupta, Corbett Merrill).</t>
  </si>
  <si>
    <t xml:space="preserve">  • Status — pick from the dropdown: Not Started, In Progress, Blocked, Done.</t>
  </si>
  <si>
    <t xml:space="preserve">  • Notes — free text for updates, blockers, or links.</t>
  </si>
  <si>
    <t xml:space="preserve">Columns not meant to be edited (context from the research):</t>
  </si>
  <si>
    <t xml:space="preserve">  • Section, Task, Priority, Suggested Owner, Source.</t>
  </si>
  <si>
    <t xml:space="preserve">  • Suggested Owner is the team that appears responsible based on Slack context (Elastic / GE Vernova / Joint) — use Assigned To for a specific person.</t>
  </si>
  <si>
    <t xml:space="preserve">Summary tab: auto-calculated counts and % complete per section via COUNTIFS formulas — updates automatically as you change Status.</t>
  </si>
  <si>
    <t xml:space="preserve">Example row (for format reference only — not a real task):</t>
  </si>
  <si>
    <t xml:space="preserve">Example section</t>
  </si>
  <si>
    <t xml:space="preserve">Example task description goes here</t>
  </si>
  <si>
    <t xml:space="preserve">Jane Doe</t>
  </si>
  <si>
    <t xml:space="preserve">Waiting on customer to confirm access</t>
  </si>
  <si>
    <t xml:space="preserve">Slack, 9/1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</si>
</sst>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3"/>
        <bgColor rgb="FF333300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9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7F7F7F"/>
        <sz val="10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2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/>
      <c r="G2" s="3" t="s">
        <v>13</v>
      </c>
      <c r="H2" s="3"/>
      <c r="I2" s="3" t="s">
        <v>14</v>
      </c>
    </row>
    <row r="3" customFormat="false" ht="23.85" hidden="false" customHeight="false" outlineLevel="0" collapsed="false">
      <c r="A3" s="2" t="n">
        <v>2</v>
      </c>
      <c r="B3" s="3" t="s">
        <v>9</v>
      </c>
      <c r="C3" s="3" t="s">
        <v>15</v>
      </c>
      <c r="D3" s="3" t="s">
        <v>11</v>
      </c>
      <c r="E3" s="3" t="s">
        <v>12</v>
      </c>
      <c r="F3" s="3"/>
      <c r="G3" s="3" t="s">
        <v>13</v>
      </c>
      <c r="H3" s="3"/>
      <c r="I3" s="3" t="s">
        <v>16</v>
      </c>
    </row>
    <row r="4" customFormat="false" ht="23.85" hidden="false" customHeight="false" outlineLevel="0" collapsed="false">
      <c r="A4" s="2" t="n">
        <v>3</v>
      </c>
      <c r="B4" s="3" t="s">
        <v>9</v>
      </c>
      <c r="C4" s="3" t="s">
        <v>17</v>
      </c>
      <c r="D4" s="3" t="s">
        <v>11</v>
      </c>
      <c r="E4" s="3" t="s">
        <v>18</v>
      </c>
      <c r="F4" s="3"/>
      <c r="G4" s="3" t="s">
        <v>13</v>
      </c>
      <c r="H4" s="3"/>
      <c r="I4" s="3" t="s">
        <v>19</v>
      </c>
    </row>
    <row r="5" customFormat="false" ht="23.85" hidden="false" customHeight="false" outlineLevel="0" collapsed="false">
      <c r="A5" s="2" t="n">
        <v>4</v>
      </c>
      <c r="B5" s="3" t="s">
        <v>9</v>
      </c>
      <c r="C5" s="3" t="s">
        <v>20</v>
      </c>
      <c r="D5" s="3" t="s">
        <v>11</v>
      </c>
      <c r="E5" s="3" t="s">
        <v>21</v>
      </c>
      <c r="F5" s="3"/>
      <c r="G5" s="3" t="s">
        <v>13</v>
      </c>
      <c r="H5" s="3"/>
      <c r="I5" s="3" t="s">
        <v>22</v>
      </c>
    </row>
    <row r="6" customFormat="false" ht="23.85" hidden="false" customHeight="false" outlineLevel="0" collapsed="false">
      <c r="A6" s="2" t="n">
        <v>5</v>
      </c>
      <c r="B6" s="3" t="s">
        <v>9</v>
      </c>
      <c r="C6" s="3" t="s">
        <v>23</v>
      </c>
      <c r="D6" s="3" t="s">
        <v>24</v>
      </c>
      <c r="E6" s="3" t="s">
        <v>12</v>
      </c>
      <c r="F6" s="3"/>
      <c r="G6" s="3" t="s">
        <v>13</v>
      </c>
      <c r="H6" s="3"/>
      <c r="I6" s="3" t="s">
        <v>25</v>
      </c>
    </row>
    <row r="7" customFormat="false" ht="23.85" hidden="false" customHeight="false" outlineLevel="0" collapsed="false">
      <c r="A7" s="2" t="n">
        <v>6</v>
      </c>
      <c r="B7" s="3" t="s">
        <v>9</v>
      </c>
      <c r="C7" s="3" t="s">
        <v>26</v>
      </c>
      <c r="D7" s="3" t="s">
        <v>11</v>
      </c>
      <c r="E7" s="3" t="s">
        <v>27</v>
      </c>
      <c r="F7" s="3"/>
      <c r="G7" s="3" t="s">
        <v>13</v>
      </c>
      <c r="H7" s="3"/>
      <c r="I7" s="3" t="s">
        <v>28</v>
      </c>
    </row>
    <row r="8" customFormat="false" ht="23.85" hidden="false" customHeight="false" outlineLevel="0" collapsed="false">
      <c r="A8" s="2" t="n">
        <v>7</v>
      </c>
      <c r="B8" s="3" t="s">
        <v>9</v>
      </c>
      <c r="C8" s="3" t="s">
        <v>29</v>
      </c>
      <c r="D8" s="3" t="s">
        <v>24</v>
      </c>
      <c r="E8" s="3" t="s">
        <v>12</v>
      </c>
      <c r="F8" s="3"/>
      <c r="G8" s="3" t="s">
        <v>13</v>
      </c>
      <c r="H8" s="3"/>
      <c r="I8" s="3" t="s">
        <v>30</v>
      </c>
    </row>
    <row r="9" customFormat="false" ht="23.85" hidden="false" customHeight="false" outlineLevel="0" collapsed="false">
      <c r="A9" s="2" t="n">
        <v>8</v>
      </c>
      <c r="B9" s="3" t="s">
        <v>9</v>
      </c>
      <c r="C9" s="3" t="s">
        <v>31</v>
      </c>
      <c r="D9" s="3" t="s">
        <v>32</v>
      </c>
      <c r="E9" s="3" t="s">
        <v>18</v>
      </c>
      <c r="F9" s="3"/>
      <c r="G9" s="3" t="s">
        <v>13</v>
      </c>
      <c r="H9" s="3"/>
      <c r="I9" s="3" t="s">
        <v>30</v>
      </c>
    </row>
    <row r="10" customFormat="false" ht="35.05" hidden="false" customHeight="false" outlineLevel="0" collapsed="false">
      <c r="A10" s="2" t="n">
        <v>9</v>
      </c>
      <c r="B10" s="3" t="s">
        <v>33</v>
      </c>
      <c r="C10" s="3" t="s">
        <v>34</v>
      </c>
      <c r="D10" s="3" t="s">
        <v>11</v>
      </c>
      <c r="E10" s="3" t="s">
        <v>18</v>
      </c>
      <c r="F10" s="3"/>
      <c r="G10" s="3" t="s">
        <v>13</v>
      </c>
      <c r="H10" s="3"/>
      <c r="I10" s="3" t="s">
        <v>35</v>
      </c>
    </row>
    <row r="11" customFormat="false" ht="23.85" hidden="false" customHeight="false" outlineLevel="0" collapsed="false">
      <c r="A11" s="2" t="n">
        <v>10</v>
      </c>
      <c r="B11" s="3" t="s">
        <v>33</v>
      </c>
      <c r="C11" s="3" t="s">
        <v>36</v>
      </c>
      <c r="D11" s="3" t="s">
        <v>11</v>
      </c>
      <c r="E11" s="3" t="s">
        <v>12</v>
      </c>
      <c r="F11" s="3"/>
      <c r="G11" s="3" t="s">
        <v>13</v>
      </c>
      <c r="H11" s="3"/>
      <c r="I11" s="3" t="s">
        <v>37</v>
      </c>
    </row>
    <row r="12" customFormat="false" ht="23.85" hidden="false" customHeight="false" outlineLevel="0" collapsed="false">
      <c r="A12" s="2" t="n">
        <v>11</v>
      </c>
      <c r="B12" s="3" t="s">
        <v>33</v>
      </c>
      <c r="C12" s="3" t="s">
        <v>38</v>
      </c>
      <c r="D12" s="3" t="s">
        <v>11</v>
      </c>
      <c r="E12" s="3" t="s">
        <v>39</v>
      </c>
      <c r="F12" s="3"/>
      <c r="G12" s="3" t="s">
        <v>13</v>
      </c>
      <c r="H12" s="3"/>
      <c r="I12" s="3" t="s">
        <v>40</v>
      </c>
    </row>
    <row r="13" customFormat="false" ht="23.85" hidden="false" customHeight="false" outlineLevel="0" collapsed="false">
      <c r="A13" s="2" t="n">
        <v>12</v>
      </c>
      <c r="B13" s="3" t="s">
        <v>33</v>
      </c>
      <c r="C13" s="3" t="s">
        <v>41</v>
      </c>
      <c r="D13" s="3" t="s">
        <v>24</v>
      </c>
      <c r="E13" s="3" t="s">
        <v>18</v>
      </c>
      <c r="F13" s="3"/>
      <c r="G13" s="3" t="s">
        <v>13</v>
      </c>
      <c r="H13" s="3"/>
      <c r="I13" s="3" t="s">
        <v>42</v>
      </c>
    </row>
    <row r="14" customFormat="false" ht="23.85" hidden="false" customHeight="false" outlineLevel="0" collapsed="false">
      <c r="A14" s="2" t="n">
        <v>13</v>
      </c>
      <c r="B14" s="3" t="s">
        <v>33</v>
      </c>
      <c r="C14" s="3" t="s">
        <v>43</v>
      </c>
      <c r="D14" s="3" t="s">
        <v>32</v>
      </c>
      <c r="E14" s="3" t="s">
        <v>18</v>
      </c>
      <c r="F14" s="3"/>
      <c r="G14" s="3" t="s">
        <v>13</v>
      </c>
      <c r="H14" s="3"/>
      <c r="I14" s="3" t="s">
        <v>44</v>
      </c>
    </row>
    <row r="15" customFormat="false" ht="23.85" hidden="false" customHeight="false" outlineLevel="0" collapsed="false">
      <c r="A15" s="2" t="n">
        <v>14</v>
      </c>
      <c r="B15" s="3" t="s">
        <v>45</v>
      </c>
      <c r="C15" s="3" t="s">
        <v>46</v>
      </c>
      <c r="D15" s="3" t="s">
        <v>11</v>
      </c>
      <c r="E15" s="3" t="s">
        <v>18</v>
      </c>
      <c r="F15" s="3"/>
      <c r="G15" s="3" t="s">
        <v>13</v>
      </c>
      <c r="H15" s="3"/>
      <c r="I15" s="3" t="s">
        <v>47</v>
      </c>
    </row>
    <row r="16" customFormat="false" ht="23.85" hidden="false" customHeight="false" outlineLevel="0" collapsed="false">
      <c r="A16" s="2" t="n">
        <v>15</v>
      </c>
      <c r="B16" s="3" t="s">
        <v>45</v>
      </c>
      <c r="C16" s="3" t="s">
        <v>48</v>
      </c>
      <c r="D16" s="3" t="s">
        <v>24</v>
      </c>
      <c r="E16" s="3" t="s">
        <v>18</v>
      </c>
      <c r="F16" s="3"/>
      <c r="G16" s="3" t="s">
        <v>13</v>
      </c>
      <c r="H16" s="3"/>
      <c r="I16" s="3" t="s">
        <v>49</v>
      </c>
    </row>
    <row r="17" customFormat="false" ht="23.85" hidden="false" customHeight="false" outlineLevel="0" collapsed="false">
      <c r="A17" s="2" t="n">
        <v>16</v>
      </c>
      <c r="B17" s="3" t="s">
        <v>45</v>
      </c>
      <c r="C17" s="3" t="s">
        <v>50</v>
      </c>
      <c r="D17" s="3" t="s">
        <v>24</v>
      </c>
      <c r="E17" s="3" t="s">
        <v>18</v>
      </c>
      <c r="F17" s="3"/>
      <c r="G17" s="3" t="s">
        <v>13</v>
      </c>
      <c r="H17" s="3"/>
      <c r="I17" s="3" t="s">
        <v>51</v>
      </c>
    </row>
    <row r="18" customFormat="false" ht="23.85" hidden="false" customHeight="false" outlineLevel="0" collapsed="false">
      <c r="A18" s="2" t="n">
        <v>17</v>
      </c>
      <c r="B18" s="3" t="s">
        <v>45</v>
      </c>
      <c r="C18" s="3" t="s">
        <v>52</v>
      </c>
      <c r="D18" s="3" t="s">
        <v>32</v>
      </c>
      <c r="E18" s="3" t="s">
        <v>12</v>
      </c>
      <c r="F18" s="3"/>
      <c r="G18" s="3" t="s">
        <v>13</v>
      </c>
      <c r="H18" s="3"/>
      <c r="I18" s="3" t="s">
        <v>53</v>
      </c>
    </row>
    <row r="19" customFormat="false" ht="15" hidden="false" customHeight="false" outlineLevel="0" collapsed="false">
      <c r="A19" s="2" t="n">
        <v>18</v>
      </c>
      <c r="B19" s="3" t="s">
        <v>54</v>
      </c>
      <c r="C19" s="3" t="s">
        <v>55</v>
      </c>
      <c r="D19" s="3" t="s">
        <v>24</v>
      </c>
      <c r="E19" s="3" t="s">
        <v>12</v>
      </c>
      <c r="F19" s="3"/>
      <c r="G19" s="3" t="s">
        <v>13</v>
      </c>
      <c r="H19" s="3"/>
      <c r="I19" s="3" t="s">
        <v>56</v>
      </c>
    </row>
    <row r="20" customFormat="false" ht="23.85" hidden="false" customHeight="false" outlineLevel="0" collapsed="false">
      <c r="A20" s="2" t="n">
        <v>19</v>
      </c>
      <c r="B20" s="3" t="s">
        <v>54</v>
      </c>
      <c r="C20" s="3" t="s">
        <v>57</v>
      </c>
      <c r="D20" s="3" t="s">
        <v>24</v>
      </c>
      <c r="E20" s="3" t="s">
        <v>12</v>
      </c>
      <c r="F20" s="3"/>
      <c r="G20" s="3" t="s">
        <v>13</v>
      </c>
      <c r="H20" s="3"/>
      <c r="I20" s="3" t="s">
        <v>58</v>
      </c>
    </row>
    <row r="21" customFormat="false" ht="15" hidden="false" customHeight="false" outlineLevel="0" collapsed="false">
      <c r="A21" s="2" t="n">
        <v>20</v>
      </c>
      <c r="B21" s="3" t="s">
        <v>54</v>
      </c>
      <c r="C21" s="3" t="s">
        <v>59</v>
      </c>
      <c r="D21" s="3" t="s">
        <v>32</v>
      </c>
      <c r="E21" s="3" t="s">
        <v>21</v>
      </c>
      <c r="F21" s="3"/>
      <c r="G21" s="3" t="s">
        <v>13</v>
      </c>
      <c r="H21" s="3"/>
      <c r="I21" s="3" t="s">
        <v>56</v>
      </c>
    </row>
    <row r="22" customFormat="false" ht="23.85" hidden="false" customHeight="false" outlineLevel="0" collapsed="false">
      <c r="A22" s="2" t="n">
        <v>21</v>
      </c>
      <c r="B22" s="3" t="s">
        <v>54</v>
      </c>
      <c r="C22" s="3" t="s">
        <v>60</v>
      </c>
      <c r="D22" s="3" t="s">
        <v>32</v>
      </c>
      <c r="E22" s="3" t="s">
        <v>18</v>
      </c>
      <c r="F22" s="3"/>
      <c r="G22" s="3" t="s">
        <v>13</v>
      </c>
      <c r="H22" s="3"/>
      <c r="I22" s="3" t="s">
        <v>61</v>
      </c>
    </row>
    <row r="23" customFormat="false" ht="23.85" hidden="false" customHeight="false" outlineLevel="0" collapsed="false">
      <c r="A23" s="2" t="n">
        <v>22</v>
      </c>
      <c r="B23" s="3" t="s">
        <v>62</v>
      </c>
      <c r="C23" s="3" t="s">
        <v>63</v>
      </c>
      <c r="D23" s="3" t="s">
        <v>11</v>
      </c>
      <c r="E23" s="3" t="s">
        <v>12</v>
      </c>
      <c r="F23" s="3"/>
      <c r="G23" s="3" t="s">
        <v>13</v>
      </c>
      <c r="H23" s="3"/>
      <c r="I23" s="3" t="s">
        <v>64</v>
      </c>
    </row>
    <row r="24" customFormat="false" ht="23.85" hidden="false" customHeight="false" outlineLevel="0" collapsed="false">
      <c r="A24" s="2" t="n">
        <v>23</v>
      </c>
      <c r="B24" s="3" t="s">
        <v>62</v>
      </c>
      <c r="C24" s="3" t="s">
        <v>65</v>
      </c>
      <c r="D24" s="3" t="s">
        <v>24</v>
      </c>
      <c r="E24" s="3" t="s">
        <v>12</v>
      </c>
      <c r="F24" s="3"/>
      <c r="G24" s="3" t="s">
        <v>13</v>
      </c>
      <c r="H24" s="3"/>
      <c r="I24" s="3" t="s">
        <v>66</v>
      </c>
    </row>
    <row r="25" customFormat="false" ht="35.05" hidden="false" customHeight="false" outlineLevel="0" collapsed="false">
      <c r="A25" s="2" t="n">
        <v>24</v>
      </c>
      <c r="B25" s="3" t="s">
        <v>62</v>
      </c>
      <c r="C25" s="3" t="s">
        <v>67</v>
      </c>
      <c r="D25" s="3" t="s">
        <v>11</v>
      </c>
      <c r="E25" s="3" t="s">
        <v>12</v>
      </c>
      <c r="F25" s="3"/>
      <c r="G25" s="3" t="s">
        <v>13</v>
      </c>
      <c r="H25" s="3"/>
      <c r="I25" s="3" t="s">
        <v>68</v>
      </c>
    </row>
    <row r="26" customFormat="false" ht="23.85" hidden="false" customHeight="false" outlineLevel="0" collapsed="false">
      <c r="A26" s="2" t="n">
        <v>25</v>
      </c>
      <c r="B26" s="3" t="s">
        <v>62</v>
      </c>
      <c r="C26" s="3" t="s">
        <v>69</v>
      </c>
      <c r="D26" s="3" t="s">
        <v>24</v>
      </c>
      <c r="E26" s="3" t="s">
        <v>12</v>
      </c>
      <c r="F26" s="3"/>
      <c r="G26" s="3" t="s">
        <v>13</v>
      </c>
      <c r="H26" s="3"/>
      <c r="I26" s="3" t="s">
        <v>68</v>
      </c>
    </row>
    <row r="27" customFormat="false" ht="35.05" hidden="false" customHeight="false" outlineLevel="0" collapsed="false">
      <c r="A27" s="2" t="n">
        <v>26</v>
      </c>
      <c r="B27" s="3" t="s">
        <v>62</v>
      </c>
      <c r="C27" s="3" t="s">
        <v>70</v>
      </c>
      <c r="D27" s="3" t="s">
        <v>11</v>
      </c>
      <c r="E27" s="3" t="s">
        <v>12</v>
      </c>
      <c r="F27" s="3"/>
      <c r="G27" s="3" t="s">
        <v>13</v>
      </c>
      <c r="H27" s="3"/>
      <c r="I27" s="3" t="s">
        <v>71</v>
      </c>
    </row>
    <row r="28" customFormat="false" ht="35.05" hidden="false" customHeight="false" outlineLevel="0" collapsed="false">
      <c r="A28" s="2" t="n">
        <v>27</v>
      </c>
      <c r="B28" s="3" t="s">
        <v>62</v>
      </c>
      <c r="C28" s="3" t="s">
        <v>72</v>
      </c>
      <c r="D28" s="3" t="s">
        <v>24</v>
      </c>
      <c r="E28" s="3" t="s">
        <v>39</v>
      </c>
      <c r="F28" s="3"/>
      <c r="G28" s="3" t="s">
        <v>13</v>
      </c>
      <c r="H28" s="3"/>
      <c r="I28" s="3" t="s">
        <v>73</v>
      </c>
    </row>
    <row r="29" customFormat="false" ht="23.85" hidden="false" customHeight="false" outlineLevel="0" collapsed="false">
      <c r="A29" s="2" t="n">
        <v>28</v>
      </c>
      <c r="B29" s="3" t="s">
        <v>62</v>
      </c>
      <c r="C29" s="3" t="s">
        <v>74</v>
      </c>
      <c r="D29" s="3" t="s">
        <v>32</v>
      </c>
      <c r="E29" s="3" t="s">
        <v>12</v>
      </c>
      <c r="F29" s="3"/>
      <c r="G29" s="3" t="s">
        <v>13</v>
      </c>
      <c r="H29" s="3"/>
      <c r="I29" s="3" t="s">
        <v>73</v>
      </c>
    </row>
    <row r="30" customFormat="false" ht="23.85" hidden="false" customHeight="false" outlineLevel="0" collapsed="false">
      <c r="A30" s="2" t="n">
        <v>29</v>
      </c>
      <c r="B30" s="3" t="s">
        <v>62</v>
      </c>
      <c r="C30" s="3" t="s">
        <v>75</v>
      </c>
      <c r="D30" s="3" t="s">
        <v>24</v>
      </c>
      <c r="E30" s="3" t="s">
        <v>18</v>
      </c>
      <c r="F30" s="3"/>
      <c r="G30" s="3" t="s">
        <v>13</v>
      </c>
      <c r="H30" s="3"/>
      <c r="I30" s="3" t="s">
        <v>76</v>
      </c>
    </row>
    <row r="31" customFormat="false" ht="23.85" hidden="false" customHeight="false" outlineLevel="0" collapsed="false">
      <c r="A31" s="2" t="n">
        <v>30</v>
      </c>
      <c r="B31" s="3" t="s">
        <v>62</v>
      </c>
      <c r="C31" s="3" t="s">
        <v>77</v>
      </c>
      <c r="D31" s="3" t="s">
        <v>32</v>
      </c>
      <c r="E31" s="3" t="s">
        <v>18</v>
      </c>
      <c r="F31" s="3"/>
      <c r="G31" s="3" t="s">
        <v>13</v>
      </c>
      <c r="H31" s="3"/>
      <c r="I31" s="3" t="s">
        <v>76</v>
      </c>
    </row>
    <row r="32" customFormat="false" ht="23.85" hidden="false" customHeight="false" outlineLevel="0" collapsed="false">
      <c r="A32" s="2" t="n">
        <v>31</v>
      </c>
      <c r="B32" s="3" t="s">
        <v>62</v>
      </c>
      <c r="C32" s="3" t="s">
        <v>78</v>
      </c>
      <c r="D32" s="3" t="s">
        <v>24</v>
      </c>
      <c r="E32" s="3" t="s">
        <v>18</v>
      </c>
      <c r="F32" s="3"/>
      <c r="G32" s="3" t="s">
        <v>13</v>
      </c>
      <c r="H32" s="3"/>
      <c r="I32" s="3" t="s">
        <v>76</v>
      </c>
    </row>
    <row r="33" customFormat="false" ht="23.85" hidden="false" customHeight="false" outlineLevel="0" collapsed="false">
      <c r="A33" s="2" t="n">
        <v>32</v>
      </c>
      <c r="B33" s="3" t="s">
        <v>62</v>
      </c>
      <c r="C33" s="3" t="s">
        <v>79</v>
      </c>
      <c r="D33" s="3" t="s">
        <v>11</v>
      </c>
      <c r="E33" s="3" t="s">
        <v>12</v>
      </c>
      <c r="F33" s="3"/>
      <c r="G33" s="3" t="s">
        <v>13</v>
      </c>
      <c r="H33" s="3"/>
      <c r="I33" s="3" t="s">
        <v>80</v>
      </c>
    </row>
    <row r="34" customFormat="false" ht="23.85" hidden="false" customHeight="false" outlineLevel="0" collapsed="false">
      <c r="A34" s="2" t="n">
        <v>33</v>
      </c>
      <c r="B34" s="3" t="s">
        <v>62</v>
      </c>
      <c r="C34" s="3" t="s">
        <v>81</v>
      </c>
      <c r="D34" s="3" t="s">
        <v>32</v>
      </c>
      <c r="E34" s="3" t="s">
        <v>12</v>
      </c>
      <c r="F34" s="3"/>
      <c r="G34" s="3" t="s">
        <v>13</v>
      </c>
      <c r="H34" s="3"/>
      <c r="I34" s="3" t="s">
        <v>82</v>
      </c>
    </row>
  </sheetData>
  <autoFilter ref="A1:I34"/>
  <conditionalFormatting sqref="G2:G34">
    <cfRule type="cellIs" priority="2" operator="equal" aboveAverage="0" equalAverage="0" bottom="0" percent="0" rank="0" text="" dxfId="9">
      <formula>"Done"</formula>
    </cfRule>
    <cfRule type="cellIs" priority="3" operator="equal" aboveAverage="0" equalAverage="0" bottom="0" percent="0" rank="0" text="" dxfId="10">
      <formula>"In Progress"</formula>
    </cfRule>
    <cfRule type="cellIs" priority="4" operator="equal" aboveAverage="0" equalAverage="0" bottom="0" percent="0" rank="0" text="" dxfId="11">
      <formula>"Blocked"</formula>
    </cfRule>
    <cfRule type="cellIs" priority="5" operator="equal" aboveAverage="0" equalAverage="0" bottom="0" percent="0" rank="0" text="" dxfId="12">
      <formula>"Not Started"</formula>
    </cfRule>
  </conditionalFormatting>
  <conditionalFormatting sqref="D2:D34">
    <cfRule type="cellIs" priority="6" operator="equal" aboveAverage="0" equalAverage="0" bottom="0" percent="0" rank="0" text="" dxfId="11">
      <formula>"High"</formula>
    </cfRule>
    <cfRule type="cellIs" priority="7" operator="equal" aboveAverage="0" equalAverage="0" bottom="0" percent="0" rank="0" text="" dxfId="10">
      <formula>"Med"</formula>
    </cfRule>
    <cfRule type="cellIs" priority="8" operator="equal" aboveAverage="0" equalAverage="0" bottom="0" percent="0" rank="0" text="" dxfId="12">
      <formula>"Low"</formula>
    </cfRule>
  </conditionalFormatting>
  <dataValidations count="2">
    <dataValidation allowBlank="true" errorStyle="stop" operator="between" showDropDown="false" showErrorMessage="false" showInputMessage="false" sqref="G2:G34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D2:D34" type="list">
      <formula1>"High,Med,Low"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</cols>
  <sheetData>
    <row r="1" customFormat="false" ht="19.5" hidden="false" customHeight="true" outlineLevel="0" collapsed="false">
      <c r="A1" s="1" t="s">
        <v>1</v>
      </c>
      <c r="B1" s="1" t="s">
        <v>83</v>
      </c>
      <c r="C1" s="1" t="s">
        <v>13</v>
      </c>
      <c r="D1" s="1" t="s">
        <v>84</v>
      </c>
      <c r="E1" s="1" t="s">
        <v>85</v>
      </c>
      <c r="F1" s="1" t="s">
        <v>86</v>
      </c>
      <c r="G1" s="1" t="s">
        <v>87</v>
      </c>
    </row>
    <row r="2" customFormat="false" ht="23.85" hidden="false" customHeight="false" outlineLevel="0" collapsed="false">
      <c r="A2" s="3" t="s">
        <v>9</v>
      </c>
      <c r="B2" s="3" t="n">
        <f aca="false">COUNTIF('Task List'!$B$2:$B$34,A2)</f>
        <v>8</v>
      </c>
      <c r="C2" s="3" t="n">
        <f aca="false">COUNTIFS('Task List'!$B$2:$B$34,A2,'Task List'!$G$2:$G$34,"Not Started")</f>
        <v>8</v>
      </c>
      <c r="D2" s="3" t="n">
        <f aca="false">COUNTIFS('Task List'!$B$2:$B$34,A2,'Task List'!$G$2:$G$34,"In Progress")</f>
        <v>0</v>
      </c>
      <c r="E2" s="3" t="n">
        <f aca="false">COUNTIFS('Task List'!$B$2:$B$34,A2,'Task List'!$G$2:$G$34,"Blocked")</f>
        <v>0</v>
      </c>
      <c r="F2" s="3" t="n">
        <f aca="false">COUNTIFS('Task List'!$B$2:$B$34,A2,'Task List'!$G$2:$G$34,"Done")</f>
        <v>0</v>
      </c>
      <c r="G2" s="4" t="n">
        <f aca="false">IFERROR(F2/B2,0)</f>
        <v>0</v>
      </c>
    </row>
    <row r="3" customFormat="false" ht="15" hidden="false" customHeight="false" outlineLevel="0" collapsed="false">
      <c r="A3" s="3" t="s">
        <v>33</v>
      </c>
      <c r="B3" s="3" t="n">
        <f aca="false">COUNTIF('Task List'!$B$2:$B$34,A3)</f>
        <v>5</v>
      </c>
      <c r="C3" s="3" t="n">
        <f aca="false">COUNTIFS('Task List'!$B$2:$B$34,A3,'Task List'!$G$2:$G$34,"Not Started")</f>
        <v>5</v>
      </c>
      <c r="D3" s="3" t="n">
        <f aca="false">COUNTIFS('Task List'!$B$2:$B$34,A3,'Task List'!$G$2:$G$34,"In Progress")</f>
        <v>0</v>
      </c>
      <c r="E3" s="3" t="n">
        <f aca="false">COUNTIFS('Task List'!$B$2:$B$34,A3,'Task List'!$G$2:$G$34,"Blocked")</f>
        <v>0</v>
      </c>
      <c r="F3" s="3" t="n">
        <f aca="false">COUNTIFS('Task List'!$B$2:$B$34,A3,'Task List'!$G$2:$G$34,"Done")</f>
        <v>0</v>
      </c>
      <c r="G3" s="4" t="n">
        <f aca="false">IFERROR(F3/B3,0)</f>
        <v>0</v>
      </c>
    </row>
    <row r="4" customFormat="false" ht="15" hidden="false" customHeight="false" outlineLevel="0" collapsed="false">
      <c r="A4" s="3" t="s">
        <v>45</v>
      </c>
      <c r="B4" s="3" t="n">
        <f aca="false">COUNTIF('Task List'!$B$2:$B$34,A4)</f>
        <v>4</v>
      </c>
      <c r="C4" s="3" t="n">
        <f aca="false">COUNTIFS('Task List'!$B$2:$B$34,A4,'Task List'!$G$2:$G$34,"Not Started")</f>
        <v>4</v>
      </c>
      <c r="D4" s="3" t="n">
        <f aca="false">COUNTIFS('Task List'!$B$2:$B$34,A4,'Task List'!$G$2:$G$34,"In Progress")</f>
        <v>0</v>
      </c>
      <c r="E4" s="3" t="n">
        <f aca="false">COUNTIFS('Task List'!$B$2:$B$34,A4,'Task List'!$G$2:$G$34,"Blocked")</f>
        <v>0</v>
      </c>
      <c r="F4" s="3" t="n">
        <f aca="false">COUNTIFS('Task List'!$B$2:$B$34,A4,'Task List'!$G$2:$G$34,"Done")</f>
        <v>0</v>
      </c>
      <c r="G4" s="4" t="n">
        <f aca="false">IFERROR(F4/B4,0)</f>
        <v>0</v>
      </c>
    </row>
    <row r="5" customFormat="false" ht="15" hidden="false" customHeight="false" outlineLevel="0" collapsed="false">
      <c r="A5" s="3" t="s">
        <v>54</v>
      </c>
      <c r="B5" s="3" t="n">
        <f aca="false">COUNTIF('Task List'!$B$2:$B$34,A5)</f>
        <v>4</v>
      </c>
      <c r="C5" s="3" t="n">
        <f aca="false">COUNTIFS('Task List'!$B$2:$B$34,A5,'Task List'!$G$2:$G$34,"Not Started")</f>
        <v>4</v>
      </c>
      <c r="D5" s="3" t="n">
        <f aca="false">COUNTIFS('Task List'!$B$2:$B$34,A5,'Task List'!$G$2:$G$34,"In Progress")</f>
        <v>0</v>
      </c>
      <c r="E5" s="3" t="n">
        <f aca="false">COUNTIFS('Task List'!$B$2:$B$34,A5,'Task List'!$G$2:$G$34,"Blocked")</f>
        <v>0</v>
      </c>
      <c r="F5" s="3" t="n">
        <f aca="false">COUNTIFS('Task List'!$B$2:$B$34,A5,'Task List'!$G$2:$G$34,"Done")</f>
        <v>0</v>
      </c>
      <c r="G5" s="4" t="n">
        <f aca="false">IFERROR(F5/B5,0)</f>
        <v>0</v>
      </c>
    </row>
    <row r="6" customFormat="false" ht="23.85" hidden="false" customHeight="false" outlineLevel="0" collapsed="false">
      <c r="A6" s="3" t="s">
        <v>62</v>
      </c>
      <c r="B6" s="3" t="n">
        <f aca="false">COUNTIF('Task List'!$B$2:$B$34,A6)</f>
        <v>12</v>
      </c>
      <c r="C6" s="3" t="n">
        <f aca="false">COUNTIFS('Task List'!$B$2:$B$34,A6,'Task List'!$G$2:$G$34,"Not Started")</f>
        <v>12</v>
      </c>
      <c r="D6" s="3" t="n">
        <f aca="false">COUNTIFS('Task List'!$B$2:$B$34,A6,'Task List'!$G$2:$G$34,"In Progress")</f>
        <v>0</v>
      </c>
      <c r="E6" s="3" t="n">
        <f aca="false">COUNTIFS('Task List'!$B$2:$B$34,A6,'Task List'!$G$2:$G$34,"Blocked")</f>
        <v>0</v>
      </c>
      <c r="F6" s="3" t="n">
        <f aca="false">COUNTIFS('Task List'!$B$2:$B$34,A6,'Task List'!$G$2:$G$34,"Done")</f>
        <v>0</v>
      </c>
      <c r="G6" s="4" t="n">
        <f aca="false">IFERROR(F6/B6,0)</f>
        <v>0</v>
      </c>
    </row>
    <row r="7" customFormat="false" ht="15" hidden="false" customHeight="false" outlineLevel="0" collapsed="false">
      <c r="A7" s="5" t="s">
        <v>83</v>
      </c>
      <c r="B7" s="5" t="n">
        <f aca="false">SUM(B2:B6)</f>
        <v>33</v>
      </c>
      <c r="C7" s="5" t="n">
        <f aca="false">SUM(C2:C6)</f>
        <v>33</v>
      </c>
      <c r="D7" s="5" t="n">
        <f aca="false">SUM(D2:D6)</f>
        <v>0</v>
      </c>
      <c r="E7" s="5" t="n">
        <f aca="false">SUM(E2:E6)</f>
        <v>0</v>
      </c>
      <c r="F7" s="5" t="n">
        <f aca="false">SUM(F2:F6)</f>
        <v>0</v>
      </c>
      <c r="G7" s="6" t="n">
        <f aca="false">IFERROR(F7/B7,0)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7" t="s">
        <v>88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89</v>
      </c>
    </row>
    <row r="4" customFormat="false" ht="15" hidden="false" customHeight="false" outlineLevel="0" collapsed="false">
      <c r="A4" s="8"/>
    </row>
    <row r="5" customFormat="false" ht="15" hidden="false" customHeight="false" outlineLevel="0" collapsed="false">
      <c r="A5" s="8" t="s">
        <v>90</v>
      </c>
    </row>
    <row r="6" customFormat="false" ht="15" hidden="false" customHeight="false" outlineLevel="0" collapsed="false">
      <c r="A6" s="8" t="s">
        <v>91</v>
      </c>
    </row>
    <row r="7" customFormat="false" ht="15" hidden="false" customHeight="false" outlineLevel="0" collapsed="false">
      <c r="A7" s="8" t="s">
        <v>92</v>
      </c>
    </row>
    <row r="8" customFormat="false" ht="15" hidden="false" customHeight="false" outlineLevel="0" collapsed="false">
      <c r="A8" s="8" t="s">
        <v>93</v>
      </c>
    </row>
    <row r="9" customFormat="false" ht="15" hidden="false" customHeight="false" outlineLevel="0" collapsed="false">
      <c r="A9" s="8"/>
    </row>
    <row r="10" customFormat="false" ht="15" hidden="false" customHeight="false" outlineLevel="0" collapsed="false">
      <c r="A10" s="8" t="s">
        <v>94</v>
      </c>
    </row>
    <row r="11" customFormat="false" ht="15" hidden="false" customHeight="false" outlineLevel="0" collapsed="false">
      <c r="A11" s="8" t="s">
        <v>95</v>
      </c>
    </row>
    <row r="12" customFormat="false" ht="15" hidden="false" customHeight="false" outlineLevel="0" collapsed="false">
      <c r="A12" s="8" t="s">
        <v>96</v>
      </c>
    </row>
    <row r="13" customFormat="false" ht="15" hidden="false" customHeight="false" outlineLevel="0" collapsed="false">
      <c r="A13" s="8"/>
    </row>
    <row r="14" customFormat="false" ht="15" hidden="false" customHeight="false" outlineLevel="0" collapsed="false">
      <c r="A14" s="8" t="s">
        <v>97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8" t="s">
        <v>98</v>
      </c>
    </row>
    <row r="17" customFormat="false" ht="15" hidden="false" customHeight="false" outlineLevel="0" collapsed="false">
      <c r="A17" s="9" t="s">
        <v>0</v>
      </c>
      <c r="B17" s="9" t="s">
        <v>1</v>
      </c>
      <c r="C17" s="9" t="s">
        <v>2</v>
      </c>
      <c r="D17" s="9" t="s">
        <v>3</v>
      </c>
      <c r="E17" s="9" t="s">
        <v>4</v>
      </c>
      <c r="F17" s="9" t="s">
        <v>5</v>
      </c>
      <c r="G17" s="9" t="s">
        <v>6</v>
      </c>
      <c r="H17" s="9" t="s">
        <v>7</v>
      </c>
      <c r="I17" s="9" t="s">
        <v>8</v>
      </c>
    </row>
    <row r="18" customFormat="false" ht="23.85" hidden="false" customHeight="false" outlineLevel="0" collapsed="false">
      <c r="A18" s="10" t="n">
        <v>0</v>
      </c>
      <c r="B18" s="10" t="s">
        <v>99</v>
      </c>
      <c r="C18" s="10" t="s">
        <v>100</v>
      </c>
      <c r="D18" s="10" t="s">
        <v>24</v>
      </c>
      <c r="E18" s="10" t="s">
        <v>12</v>
      </c>
      <c r="F18" s="10" t="s">
        <v>101</v>
      </c>
      <c r="G18" s="10" t="s">
        <v>84</v>
      </c>
      <c r="H18" s="10" t="s">
        <v>102</v>
      </c>
      <c r="I18" s="1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2026-09-04T12:25:09Z</dcterms:created>
  <dc:creator>openpyxl</dc:creator>
  <dc:description/>
  <dc:language>en-US</dc:language>
  <cp:lastModifiedBy/>
  <dcterms:modified xsi:type="dcterms:W3CDTF">2026-09-04T12:25:09Z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